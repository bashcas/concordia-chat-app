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ción" sheetId="1" state="visible" r:id="rId1"/>
    <sheet name="Métricas crudas k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  <sz val="10"/>
    </font>
    <font>
      <b val="1"/>
      <color rgb="00FFFFFF"/>
      <sz val="10"/>
    </font>
    <font>
      <b val="1"/>
      <color rgb="00006100"/>
    </font>
    <font>
      <b val="1"/>
      <color rgb="001F3864"/>
    </font>
    <font>
      <i val="1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Latencia p95: SIN vs CON caché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'Comparación'!B4</f>
            </strRef>
          </tx>
          <spPr>
            <a:ln>
              <a:prstDash val="solid"/>
            </a:ln>
          </spPr>
          <cat>
            <numRef>
              <f>'Comparación'!$A$5:$A$8</f>
            </numRef>
          </cat>
          <val>
            <numRef>
              <f>'Comparación'!$B$5:$B$8</f>
            </numRef>
          </val>
        </ser>
        <ser>
          <idx val="1"/>
          <order val="1"/>
          <tx>
            <strRef>
              <f>'Comparación'!C4</f>
            </strRef>
          </tx>
          <spPr>
            <a:ln>
              <a:prstDash val="solid"/>
            </a:ln>
          </spPr>
          <cat>
            <numRef>
              <f>'Comparación'!$A$5:$A$8</f>
            </numRef>
          </cat>
          <val>
            <numRef>
              <f>'Comparación'!$C$5:$C$8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VUs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p95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Throughput: SIN vs CON caché (req/s)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'Comparación'!E4</f>
            </strRef>
          </tx>
          <spPr>
            <a:ln>
              <a:prstDash val="solid"/>
            </a:ln>
          </spPr>
          <cat>
            <numRef>
              <f>'Comparación'!$A$5:$A$8</f>
            </numRef>
          </cat>
          <val>
            <numRef>
              <f>'Comparación'!$E$5:$E$8</f>
            </numRef>
          </val>
        </ser>
        <ser>
          <idx val="1"/>
          <order val="1"/>
          <tx>
            <strRef>
              <f>'Comparación'!F4</f>
            </strRef>
          </tx>
          <spPr>
            <a:ln>
              <a:prstDash val="solid"/>
            </a:ln>
          </spPr>
          <cat>
            <numRef>
              <f>'Comparación'!$A$5:$A$8</f>
            </numRef>
          </cat>
          <val>
            <numRef>
              <f>'Comparación'!$F$5:$F$8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VUs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req/s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15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17" customWidth="1" min="3" max="3"/>
    <col width="11" customWidth="1" min="4" max="4"/>
    <col width="15" customWidth="1" min="5" max="5"/>
    <col width="15" customWidth="1" min="6" max="6"/>
    <col width="11" customWidth="1" min="7" max="7"/>
    <col width="16" customWidth="1" min="8" max="8"/>
    <col width="9" customWidth="1" min="9" max="9"/>
  </cols>
  <sheetData>
    <row r="1">
      <c r="A1" s="1" t="inlineStr">
        <is>
          <t>Prototipo 4 — Escenario 2 (Desempeño): Patrón Cache-Aside (TTL) en el Chat Service</t>
        </is>
      </c>
    </row>
    <row r="2">
      <c r="A2" s="2" t="inlineStr">
        <is>
          <t>GET /channels/{id}/messages · medición in-cluster (k6 → gateway:8080, 30 s/nivel) · barrido de concurrencia 100→1000 VUs · Redis dedicado, TTL 5 s, clave por canal, tras CheckPerm</t>
        </is>
      </c>
    </row>
    <row r="4">
      <c r="A4" s="3" t="inlineStr">
        <is>
          <t>VUs</t>
        </is>
      </c>
      <c r="B4" s="3" t="inlineStr">
        <is>
          <t>p95 SIN caché (ms)</t>
        </is>
      </c>
      <c r="C4" s="3" t="inlineStr">
        <is>
          <t>p95 CON caché (ms)</t>
        </is>
      </c>
      <c r="D4" s="3" t="inlineStr">
        <is>
          <t>Mejora p95</t>
        </is>
      </c>
      <c r="E4" s="3" t="inlineStr">
        <is>
          <t>req/s SIN caché</t>
        </is>
      </c>
      <c r="F4" s="3" t="inlineStr">
        <is>
          <t>req/s CON caché</t>
        </is>
      </c>
      <c r="G4" s="3" t="inlineStr">
        <is>
          <t>Mejora req/s</t>
        </is>
      </c>
      <c r="H4" s="3" t="inlineStr">
        <is>
          <t>Hit-rate CON caché</t>
        </is>
      </c>
      <c r="I4" s="3" t="inlineStr">
        <is>
          <t>Errores</t>
        </is>
      </c>
    </row>
    <row r="5">
      <c r="A5" s="4" t="n">
        <v>100</v>
      </c>
      <c r="B5" s="5" t="n">
        <v>38.96</v>
      </c>
      <c r="C5" s="5" t="n">
        <v>19.47</v>
      </c>
      <c r="D5" s="6" t="n">
        <v>0.5002566735112937</v>
      </c>
      <c r="E5" s="7" t="n">
        <v>813.12</v>
      </c>
      <c r="F5" s="7" t="n">
        <v>873.4299999999999</v>
      </c>
      <c r="G5" s="6" t="n">
        <v>0.07417109405745759</v>
      </c>
      <c r="H5" s="8" t="n">
        <v>0.998</v>
      </c>
      <c r="I5" s="8" t="n">
        <v>0</v>
      </c>
    </row>
    <row r="6">
      <c r="A6" s="9" t="n">
        <v>200</v>
      </c>
      <c r="B6" s="10" t="n">
        <v>391.58</v>
      </c>
      <c r="C6" s="10" t="n">
        <v>346.66</v>
      </c>
      <c r="D6" s="6" t="n">
        <v>0.1147147453904693</v>
      </c>
      <c r="E6" s="11" t="n">
        <v>860.45</v>
      </c>
      <c r="F6" s="11" t="n">
        <v>1023.49</v>
      </c>
      <c r="G6" s="6" t="n">
        <v>0.1894822476611076</v>
      </c>
      <c r="H6" s="12" t="n">
        <v>0.9976999999999999</v>
      </c>
      <c r="I6" s="12" t="n">
        <v>0</v>
      </c>
    </row>
    <row r="7">
      <c r="A7" s="4" t="n">
        <v>500</v>
      </c>
      <c r="B7" s="5" t="n">
        <v>555.5599999999999</v>
      </c>
      <c r="C7" s="5" t="n">
        <v>502.14</v>
      </c>
      <c r="D7" s="6" t="n">
        <v>0.09615523075815391</v>
      </c>
      <c r="E7" s="7" t="n">
        <v>1250.07</v>
      </c>
      <c r="F7" s="7" t="n">
        <v>1708.54</v>
      </c>
      <c r="G7" s="6" t="n">
        <v>0.3667554616941451</v>
      </c>
      <c r="H7" s="8" t="n">
        <v>0.9954999999999999</v>
      </c>
      <c r="I7" s="8" t="n">
        <v>0</v>
      </c>
    </row>
    <row r="8">
      <c r="A8" s="9" t="n">
        <v>1000</v>
      </c>
      <c r="B8" s="10" t="n">
        <v>2220</v>
      </c>
      <c r="C8" s="10" t="n">
        <v>1920</v>
      </c>
      <c r="D8" s="6" t="n">
        <v>0.1351351351351351</v>
      </c>
      <c r="E8" s="11" t="n">
        <v>1013.35</v>
      </c>
      <c r="F8" s="11" t="n">
        <v>1262.07</v>
      </c>
      <c r="G8" s="6" t="n">
        <v>0.2454433315241524</v>
      </c>
      <c r="H8" s="12" t="n">
        <v>0.9852</v>
      </c>
      <c r="I8" s="12" t="n">
        <v>0</v>
      </c>
    </row>
    <row r="10">
      <c r="A10" s="13" t="inlineStr">
        <is>
          <t>Hallazgo:</t>
        </is>
      </c>
      <c r="B10" s="14" t="inlineStr">
        <is>
          <t>Con la caché habilitada, ~99–99.8% de las lecturas se sirven desde Redis (Cassandra recibe &lt; 1%). Bajo baja concurrencia el beneficio es la LATENCIA (p95 −40–50%). Al subir la carga el servidor sin caché se satura por Cassandra: el throughput tope sube de ~1250 req/s (OFF) a ~1708 req/s (ON, +37% @ 500 VUs) y la latencia se mantiene menor con caché en todo el rango. A 1000 VUs ambos saturan (1 pod de chat, Cassandra RF=1), pero la caché sostiene más req/s (1262 vs 1013) y menor p95 (1.92 s vs 2.22 s). 0% de errores en todo el barrido.</t>
        </is>
      </c>
    </row>
    <row r="11"/>
    <row r="12"/>
    <row r="13"/>
  </sheetData>
  <mergeCells count="3">
    <mergeCell ref="A1:I1"/>
    <mergeCell ref="A2:I2"/>
    <mergeCell ref="B10:I1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9" customWidth="1" min="3" max="3"/>
    <col width="9" customWidth="1" min="4" max="4"/>
    <col width="9" customWidth="1" min="5" max="5"/>
    <col width="9" customWidth="1" min="6" max="6"/>
    <col width="8" customWidth="1" min="7" max="7"/>
    <col width="9" customWidth="1" min="8" max="8"/>
    <col width="11" customWidth="1" min="9" max="9"/>
    <col width="14" customWidth="1" min="10" max="10"/>
    <col width="14" customWidth="1" min="11" max="11"/>
  </cols>
  <sheetData>
    <row r="1">
      <c r="A1" s="15" t="inlineStr">
        <is>
          <t>Config</t>
        </is>
      </c>
      <c r="B1" s="15" t="inlineStr">
        <is>
          <t>VUs</t>
        </is>
      </c>
      <c r="C1" s="15" t="inlineStr">
        <is>
          <t>avg (ms)</t>
        </is>
      </c>
      <c r="D1" s="15" t="inlineStr">
        <is>
          <t>med (ms)</t>
        </is>
      </c>
      <c r="E1" s="15" t="inlineStr">
        <is>
          <t>p90 (ms)</t>
        </is>
      </c>
      <c r="F1" s="15" t="inlineStr">
        <is>
          <t>p95 (ms)</t>
        </is>
      </c>
      <c r="G1" s="15" t="inlineStr">
        <is>
          <t>max (s)</t>
        </is>
      </c>
      <c r="H1" s="15" t="inlineStr">
        <is>
          <t>req/s</t>
        </is>
      </c>
      <c r="I1" s="15" t="inlineStr">
        <is>
          <t>http_reqs</t>
        </is>
      </c>
      <c r="J1" s="15" t="inlineStr">
        <is>
          <t>cache_hit_rate</t>
        </is>
      </c>
      <c r="K1" s="15" t="inlineStr">
        <is>
          <t>http_req_failed</t>
        </is>
      </c>
    </row>
    <row r="2">
      <c r="A2" s="16" t="inlineStr">
        <is>
          <t>SIN caché</t>
        </is>
      </c>
      <c r="B2" s="9" t="n">
        <v>100</v>
      </c>
      <c r="C2" s="10" t="n">
        <v>17.12</v>
      </c>
      <c r="D2" s="10" t="n">
        <v>13.38</v>
      </c>
      <c r="E2" s="10" t="n">
        <v>31.5</v>
      </c>
      <c r="F2" s="10" t="n">
        <v>38.96</v>
      </c>
      <c r="G2" s="17" t="n">
        <v>0.427</v>
      </c>
      <c r="H2" s="10" t="n">
        <v>813.12</v>
      </c>
      <c r="I2" s="9" t="n">
        <v>25529</v>
      </c>
      <c r="J2" s="18" t="n">
        <v>0</v>
      </c>
      <c r="K2" s="18" t="n">
        <v>0</v>
      </c>
    </row>
    <row r="3">
      <c r="A3" s="16" t="inlineStr">
        <is>
          <t>SIN caché</t>
        </is>
      </c>
      <c r="B3" s="9" t="n">
        <v>200</v>
      </c>
      <c r="C3" s="10" t="n">
        <v>120.74</v>
      </c>
      <c r="D3" s="10" t="n">
        <v>78.12</v>
      </c>
      <c r="E3" s="10" t="n">
        <v>265.15</v>
      </c>
      <c r="F3" s="10" t="n">
        <v>391.58</v>
      </c>
      <c r="G3" s="17" t="n">
        <v>1.03</v>
      </c>
      <c r="H3" s="10" t="n">
        <v>860.45</v>
      </c>
      <c r="I3" s="9" t="n">
        <v>27084</v>
      </c>
      <c r="J3" s="18" t="n">
        <v>0</v>
      </c>
      <c r="K3" s="18" t="n">
        <v>0</v>
      </c>
    </row>
    <row r="4">
      <c r="A4" s="16" t="inlineStr">
        <is>
          <t>SIN caché</t>
        </is>
      </c>
      <c r="B4" s="9" t="n">
        <v>500</v>
      </c>
      <c r="C4" s="10" t="n">
        <v>278.63</v>
      </c>
      <c r="D4" s="10" t="n">
        <v>231.44</v>
      </c>
      <c r="E4" s="10" t="n">
        <v>465.91</v>
      </c>
      <c r="F4" s="10" t="n">
        <v>555.5599999999999</v>
      </c>
      <c r="G4" s="17" t="n">
        <v>2.61</v>
      </c>
      <c r="H4" s="10" t="n">
        <v>1250.07</v>
      </c>
      <c r="I4" s="9" t="n">
        <v>39376</v>
      </c>
      <c r="J4" s="18" t="n">
        <v>0</v>
      </c>
      <c r="K4" s="18" t="n">
        <v>0</v>
      </c>
    </row>
    <row r="5">
      <c r="A5" s="16" t="inlineStr">
        <is>
          <t>SIN caché</t>
        </is>
      </c>
      <c r="B5" s="9" t="n">
        <v>1000</v>
      </c>
      <c r="C5" s="10" t="n">
        <v>833.53</v>
      </c>
      <c r="D5" s="10" t="n">
        <v>609.1799999999999</v>
      </c>
      <c r="E5" s="10" t="n">
        <v>1690</v>
      </c>
      <c r="F5" s="10" t="n">
        <v>2220</v>
      </c>
      <c r="G5" s="17" t="n">
        <v>4.04</v>
      </c>
      <c r="H5" s="10" t="n">
        <v>1013.35</v>
      </c>
      <c r="I5" s="9" t="n">
        <v>32142</v>
      </c>
      <c r="J5" s="18" t="n">
        <v>0</v>
      </c>
      <c r="K5" s="18" t="n">
        <v>0</v>
      </c>
    </row>
    <row r="6">
      <c r="A6" s="19" t="inlineStr">
        <is>
          <t>CON caché</t>
        </is>
      </c>
      <c r="B6" s="9" t="n">
        <v>100</v>
      </c>
      <c r="C6" s="10" t="n">
        <v>8.99</v>
      </c>
      <c r="D6" s="10" t="n">
        <v>5.42</v>
      </c>
      <c r="E6" s="10" t="n">
        <v>13.68</v>
      </c>
      <c r="F6" s="10" t="n">
        <v>19.47</v>
      </c>
      <c r="G6" s="17" t="n">
        <v>0.509</v>
      </c>
      <c r="H6" s="10" t="n">
        <v>873.4299999999999</v>
      </c>
      <c r="I6" s="9" t="n">
        <v>27444</v>
      </c>
      <c r="J6" s="18" t="n">
        <v>0.998</v>
      </c>
      <c r="K6" s="18" t="n">
        <v>0</v>
      </c>
    </row>
    <row r="7">
      <c r="A7" s="19" t="inlineStr">
        <is>
          <t>CON caché</t>
        </is>
      </c>
      <c r="B7" s="9" t="n">
        <v>200</v>
      </c>
      <c r="C7" s="10" t="n">
        <v>83.12</v>
      </c>
      <c r="D7" s="10" t="n">
        <v>32.87</v>
      </c>
      <c r="E7" s="10" t="n">
        <v>235.68</v>
      </c>
      <c r="F7" s="10" t="n">
        <v>346.66</v>
      </c>
      <c r="G7" s="17" t="n">
        <v>0.8080000000000001</v>
      </c>
      <c r="H7" s="10" t="n">
        <v>1023.49</v>
      </c>
      <c r="I7" s="9" t="n">
        <v>32551</v>
      </c>
      <c r="J7" s="18" t="n">
        <v>0.9976999999999999</v>
      </c>
      <c r="K7" s="18" t="n">
        <v>0</v>
      </c>
    </row>
    <row r="8">
      <c r="A8" s="19" t="inlineStr">
        <is>
          <t>CON caché</t>
        </is>
      </c>
      <c r="B8" s="9" t="n">
        <v>500</v>
      </c>
      <c r="C8" s="10" t="n">
        <v>173.76</v>
      </c>
      <c r="D8" s="10" t="n">
        <v>119.74</v>
      </c>
      <c r="E8" s="10" t="n">
        <v>369.65</v>
      </c>
      <c r="F8" s="10" t="n">
        <v>502.14</v>
      </c>
      <c r="G8" s="17" t="n">
        <v>1.45</v>
      </c>
      <c r="H8" s="10" t="n">
        <v>1708.54</v>
      </c>
      <c r="I8" s="9" t="n">
        <v>53892</v>
      </c>
      <c r="J8" s="18" t="n">
        <v>0.9954999999999999</v>
      </c>
      <c r="K8" s="18" t="n">
        <v>0</v>
      </c>
    </row>
    <row r="9">
      <c r="A9" s="19" t="inlineStr">
        <is>
          <t>CON caché</t>
        </is>
      </c>
      <c r="B9" s="9" t="n">
        <v>1000</v>
      </c>
      <c r="C9" s="10" t="n">
        <v>630.61</v>
      </c>
      <c r="D9" s="10" t="n">
        <v>358.16</v>
      </c>
      <c r="E9" s="10" t="n">
        <v>1510</v>
      </c>
      <c r="F9" s="10" t="n">
        <v>1920</v>
      </c>
      <c r="G9" s="17" t="n">
        <v>5.41</v>
      </c>
      <c r="H9" s="10" t="n">
        <v>1262.07</v>
      </c>
      <c r="I9" s="9" t="n">
        <v>41100</v>
      </c>
      <c r="J9" s="18" t="n">
        <v>0.9852</v>
      </c>
      <c r="K9" s="18" t="n">
        <v>0</v>
      </c>
    </row>
    <row r="11">
      <c r="A11" s="20" t="inlineStr">
        <is>
          <t>Entorno: EKS us-east-1 · k6 dentro del clúster (Job, 500m CPU) → Service gateway:8080 · RATE_LIMIT_ENABLED=false solo durante la medición · DURATION=30s por nivel · chat: 1 réplica · Cassandra RF=1 · ~30 mensajes sembrados por canal · Nota baja concurrencia (20s): p95 10VUs 10.6→6.2ms, 50VUs 16.7→8.5ms.</t>
        </is>
      </c>
    </row>
    <row r="12"/>
  </sheetData>
  <mergeCells count="1">
    <mergeCell ref="A11:K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2026-06-10T01:08:39Z</dcterms:created>
  <dcterms:modified xsi:type="dcterms:W3CDTF">2026-06-10T01:08:39Z</dcterms:modified>
</cp:coreProperties>
</file>